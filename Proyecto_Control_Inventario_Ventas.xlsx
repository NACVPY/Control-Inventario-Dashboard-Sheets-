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1_Productos" sheetId="1" r:id="rId5"/>
    <sheet state="visible" name="02_Ventas" sheetId="2" r:id="rId6"/>
    <sheet state="visible" name="03_Dashboard" sheetId="3" r:id="rId7"/>
  </sheets>
  <definedNames/>
  <calcPr/>
  <pivotCaches>
    <pivotCache cacheId="0" r:id="rId8"/>
  </pivotCaches>
</workbook>
</file>

<file path=xl/sharedStrings.xml><?xml version="1.0" encoding="utf-8"?>
<sst xmlns="http://schemas.openxmlformats.org/spreadsheetml/2006/main" count="71" uniqueCount="49">
  <si>
    <t>ID_Producto</t>
  </si>
  <si>
    <t>ID_Venta</t>
  </si>
  <si>
    <t>Nombre_Producto</t>
  </si>
  <si>
    <t>Categoria</t>
  </si>
  <si>
    <t>Stock_Inicial</t>
  </si>
  <si>
    <t>Precio_Unitario</t>
  </si>
  <si>
    <t>Costo_Unitario</t>
  </si>
  <si>
    <t>Reabastecer</t>
  </si>
  <si>
    <t>Total_vendido</t>
  </si>
  <si>
    <t>Fecha</t>
  </si>
  <si>
    <t>Stock_Actual</t>
  </si>
  <si>
    <t>PROD-001</t>
  </si>
  <si>
    <t>Monitor 24"</t>
  </si>
  <si>
    <t>Electrónica</t>
  </si>
  <si>
    <t>Cantidad_Vendida</t>
  </si>
  <si>
    <t>Ingreso_Total</t>
  </si>
  <si>
    <t>VEN-1001</t>
  </si>
  <si>
    <t>PROD-002</t>
  </si>
  <si>
    <t>Teclado Mecánico</t>
  </si>
  <si>
    <t>PROD-003</t>
  </si>
  <si>
    <t>Silla Ergonomica</t>
  </si>
  <si>
    <t>Mobiliario</t>
  </si>
  <si>
    <t>VEN-1002</t>
  </si>
  <si>
    <t>PROD-004</t>
  </si>
  <si>
    <t>Ratón Inalámbrico</t>
  </si>
  <si>
    <t>PROD-005</t>
  </si>
  <si>
    <t>Escritorio Madera</t>
  </si>
  <si>
    <t>VEN-1003</t>
  </si>
  <si>
    <t>PROD-006</t>
  </si>
  <si>
    <t>Auriculares BT</t>
  </si>
  <si>
    <t>PROD-007</t>
  </si>
  <si>
    <t>Lámpara LED</t>
  </si>
  <si>
    <t>Iluminación</t>
  </si>
  <si>
    <t>VEN-1004</t>
  </si>
  <si>
    <t>VEN-1005</t>
  </si>
  <si>
    <t>VEN-1006</t>
  </si>
  <si>
    <t>VEN-1007</t>
  </si>
  <si>
    <t>VEN-1008</t>
  </si>
  <si>
    <t>VEN-1009</t>
  </si>
  <si>
    <t>VEN-1010</t>
  </si>
  <si>
    <t>VEN-1011</t>
  </si>
  <si>
    <t>VEN-1012</t>
  </si>
  <si>
    <t>Total de Productos Distintos</t>
  </si>
  <si>
    <t>Productos a Rebastecer</t>
  </si>
  <si>
    <t>Total de de Unidades Vendidas</t>
  </si>
  <si>
    <t xml:space="preserve"> </t>
  </si>
  <si>
    <t>SUM de Cantidad_Vendida</t>
  </si>
  <si>
    <t>SUM de Ingreso_Total</t>
  </si>
  <si>
    <t>Suma 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</si>
</sst>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sz val="11.0"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0" xfId="0" applyFont="1"/>
    <xf borderId="0" fillId="0" fontId="2" numFmtId="0" xfId="0" applyAlignment="1" applyFont="1">
      <alignment horizontal="left"/>
    </xf>
  </cellXfs>
  <cellStyles count="1">
    <cellStyle xfId="0" name="Normal" builtinId="0"/>
  </cellStyles>
  <dxfs count="2">
    <dxf>
      <font>
        <color rgb="FF851010"/>
      </font>
      <fill>
        <patternFill patternType="solid">
          <fgColor rgb="FFFF7676"/>
          <bgColor rgb="FFFF7676"/>
        </patternFill>
      </fill>
      <border/>
    </dxf>
    <dxf>
      <font>
        <color rgb="FF274E13"/>
      </font>
      <fill>
        <patternFill patternType="solid">
          <fgColor rgb="FFB6D7A8"/>
          <bgColor rgb="FFB6D7A8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pivotCacheDefinition" Target="pivotCache/pivotCacheDefinition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        VENTAS E INGRESOS TOTALES POR CATEGORÍA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VENTAS</c:v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'03_Dashboard'!$A$7:$A$10</c:f>
            </c:strRef>
          </c:cat>
          <c:val>
            <c:numRef>
              <c:f>'03_Dashboard'!$B$7:$B$10</c:f>
              <c:numCache/>
            </c:numRef>
          </c:val>
        </c:ser>
        <c:axId val="1670126209"/>
        <c:axId val="1354136385"/>
      </c:barChart>
      <c:catAx>
        <c:axId val="167012620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Categoria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54136385"/>
      </c:catAx>
      <c:valAx>
        <c:axId val="135413638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70126209"/>
      </c:valAx>
      <c:barChart>
        <c:barDir val="col"/>
        <c:ser>
          <c:idx val="1"/>
          <c:order val="1"/>
          <c:tx>
            <c:v>INGRESO</c:v>
          </c:tx>
          <c:spPr>
            <a:solidFill>
              <a:schemeClr val="accent2"/>
            </a:solidFill>
            <a:ln cmpd="sng">
              <a:noFill/>
            </a:ln>
          </c:spPr>
          <c:cat>
            <c:strRef>
              <c:f>'03_Dashboard'!$A$7:$A$10</c:f>
            </c:strRef>
          </c:cat>
          <c:val>
            <c:numRef>
              <c:f>'03_Dashboard'!$C$7:$C$10</c:f>
              <c:numCache/>
            </c:numRef>
          </c:val>
        </c:ser>
        <c:axId val="470053118"/>
        <c:axId val="976279809"/>
      </c:barChart>
      <c:catAx>
        <c:axId val="47005311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76279809"/>
      </c:catAx>
      <c:valAx>
        <c:axId val="976279809"/>
        <c:scaling>
          <c:orientation val="minMax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70053118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4</xdr:row>
      <xdr:rowOff>161925</xdr:rowOff>
    </xdr:from>
    <xdr:ext cx="5715000" cy="3533775"/>
    <xdr:graphicFrame>
      <xdr:nvGraphicFramePr>
        <xdr:cNvPr id="1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G13" sheet="02_Ventas"/>
  </cacheSource>
  <cacheFields>
    <cacheField name="ID_Venta" numFmtId="0">
      <sharedItems>
        <s v="VEN-1001"/>
        <s v="VEN-1002"/>
        <s v="VEN-1003"/>
        <s v="VEN-1004"/>
        <s v="VEN-1005"/>
        <s v="VEN-1006"/>
        <s v="VEN-1007"/>
        <s v="VEN-1008"/>
        <s v="VEN-1009"/>
        <s v="VEN-1010"/>
        <s v="VEN-1011"/>
        <s v="VEN-1012"/>
      </sharedItems>
    </cacheField>
    <cacheField name="Fecha" numFmtId="164">
      <sharedItems containsSemiMixedTypes="0" containsDate="1" containsString="0">
        <d v="2026-03-01T00:00:00Z"/>
        <d v="2026-03-02T00:00:00Z"/>
        <d v="2026-03-03T00:00:00Z"/>
        <d v="2026-03-04T00:00:00Z"/>
        <d v="2026-03-05T00:00:00Z"/>
        <d v="2026-03-06T00:00:00Z"/>
      </sharedItems>
    </cacheField>
    <cacheField name="ID_Producto" numFmtId="0">
      <sharedItems>
        <s v="PROD-001"/>
        <s v="PROD-004"/>
        <s v="PROD-002"/>
        <s v="PROD-003"/>
        <s v="PROD-005"/>
        <s v="PROD-006"/>
        <s v="PROD-007"/>
      </sharedItems>
    </cacheField>
    <cacheField name="Cantidad_Vendida" numFmtId="0">
      <sharedItems containsSemiMixedTypes="0" containsString="0" containsNumber="1" containsInteger="1">
        <n v="2.0"/>
        <n v="5.0"/>
        <n v="3.0"/>
        <n v="1.0"/>
        <n v="10.0"/>
        <n v="4.0"/>
        <n v="8.0"/>
      </sharedItems>
    </cacheField>
    <cacheField name="Categoria" numFmtId="0">
      <sharedItems>
        <s v="Electrónica"/>
        <s v="Mobiliario"/>
        <s v="Iluminación"/>
      </sharedItems>
    </cacheField>
    <cacheField name="Precio_Unitario" numFmtId="0">
      <sharedItems containsSemiMixedTypes="0" containsString="0" containsNumber="1" containsInteger="1">
        <n v="180.0"/>
        <n v="25.0"/>
        <n v="65.0"/>
        <n v="210.0"/>
        <n v="350.0"/>
        <n v="85.0"/>
        <n v="30.0"/>
      </sharedItems>
    </cacheField>
    <cacheField name="Ingreso_Total" numFmtId="0">
      <sharedItems containsSemiMixedTypes="0" containsString="0" containsNumber="1" containsInteger="1">
        <n v="360.0"/>
        <n v="125.0"/>
        <n v="195.0"/>
        <n v="210.0"/>
        <n v="180.0"/>
        <n v="700.0"/>
        <n v="250.0"/>
        <n v="340.0"/>
        <n v="130.0"/>
        <n v="240.0"/>
        <n v="540.0"/>
        <n v="420.0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03_Dashboard" cacheId="0" dataCaption="" compact="0" compactData="0">
  <location ref="A6:C10" firstHeaderRow="0" firstDataRow="2" firstDataCol="0"/>
  <pivotFields>
    <pivotField name="ID_Vent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Fecha" compact="0" numFmtId="164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ID_Producto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Cantidad_Vendida" dataField="1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 " axis="axisRow" compact="0" outline="0" multipleItemSelectionAllowed="1" showAll="0" sortType="ascending">
      <items>
        <item x="0"/>
        <item x="2"/>
        <item x="1"/>
        <item t="default"/>
      </items>
    </pivotField>
    <pivotField name="Precio_Unitario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Ingreso_Total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</pivotFields>
  <rowFields>
    <field x="4"/>
  </rowFields>
  <colFields>
    <field x="-2"/>
  </colFields>
  <dataFields>
    <dataField name="SUM of Cantidad_Vendida" fld="3" baseField="0"/>
    <dataField name="SUM of Ingreso_Total" fld="6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25"/>
    <col customWidth="1" min="2" max="2" width="14.5"/>
    <col customWidth="1" min="3" max="3" width="9.38"/>
    <col customWidth="1" min="4" max="4" width="10.38"/>
    <col customWidth="1" min="5" max="5" width="12.38"/>
    <col customWidth="1" min="6" max="6" width="12.0"/>
    <col customWidth="1" min="7" max="7" width="16.13"/>
    <col customWidth="1" min="8" max="8" width="11.25"/>
    <col customWidth="1" min="9" max="9" width="10.75"/>
  </cols>
  <sheetData>
    <row r="1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10</v>
      </c>
    </row>
    <row r="2">
      <c r="A2" s="1" t="s">
        <v>11</v>
      </c>
      <c r="B2" s="1" t="s">
        <v>12</v>
      </c>
      <c r="C2" s="1" t="s">
        <v>13</v>
      </c>
      <c r="D2" s="1">
        <v>50.0</v>
      </c>
      <c r="E2" s="1">
        <v>180.0</v>
      </c>
      <c r="F2" s="1">
        <v>110.0</v>
      </c>
      <c r="G2" s="3" t="str">
        <f t="shared" ref="G2:G8" si="1">IF(I2&lt;=25, "⚠️ REABASTECER", "OK")</f>
        <v>OK</v>
      </c>
      <c r="H2" s="3">
        <f>SUMIF('02_Ventas'!C:C, A2, '02_Ventas'!D:D)</f>
        <v>6</v>
      </c>
      <c r="I2" s="3">
        <f t="shared" ref="I2:I8" si="2">D2-H2</f>
        <v>44</v>
      </c>
    </row>
    <row r="3">
      <c r="A3" s="1" t="s">
        <v>17</v>
      </c>
      <c r="B3" s="1" t="s">
        <v>18</v>
      </c>
      <c r="C3" s="1" t="s">
        <v>13</v>
      </c>
      <c r="D3" s="1">
        <v>120.0</v>
      </c>
      <c r="E3" s="1">
        <v>65.0</v>
      </c>
      <c r="F3" s="1">
        <v>35.0</v>
      </c>
      <c r="G3" s="3" t="str">
        <f t="shared" si="1"/>
        <v>OK</v>
      </c>
      <c r="H3" s="3">
        <f>SUMIF('02_Ventas'!C:C, A3, '02_Ventas'!D:D)</f>
        <v>5</v>
      </c>
      <c r="I3" s="3">
        <f t="shared" si="2"/>
        <v>115</v>
      </c>
    </row>
    <row r="4">
      <c r="A4" s="1" t="s">
        <v>19</v>
      </c>
      <c r="B4" s="1" t="s">
        <v>20</v>
      </c>
      <c r="C4" s="1" t="s">
        <v>21</v>
      </c>
      <c r="D4" s="1">
        <v>30.0</v>
      </c>
      <c r="E4" s="1">
        <v>210.0</v>
      </c>
      <c r="F4" s="1">
        <v>120.0</v>
      </c>
      <c r="G4" s="3" t="str">
        <f t="shared" si="1"/>
        <v>OK</v>
      </c>
      <c r="H4" s="3">
        <f>SUMIF('02_Ventas'!C:C, A4, '02_Ventas'!D:D)</f>
        <v>3</v>
      </c>
      <c r="I4" s="3">
        <f t="shared" si="2"/>
        <v>27</v>
      </c>
    </row>
    <row r="5">
      <c r="A5" s="1" t="s">
        <v>23</v>
      </c>
      <c r="B5" s="1" t="s">
        <v>24</v>
      </c>
      <c r="C5" s="1" t="s">
        <v>13</v>
      </c>
      <c r="D5" s="1">
        <v>200.0</v>
      </c>
      <c r="E5" s="1">
        <v>25.0</v>
      </c>
      <c r="F5" s="1">
        <v>10.0</v>
      </c>
      <c r="G5" s="3" t="str">
        <f t="shared" si="1"/>
        <v>OK</v>
      </c>
      <c r="H5" s="3">
        <f>SUMIF('02_Ventas'!C:C, A5, '02_Ventas'!D:D)</f>
        <v>15</v>
      </c>
      <c r="I5" s="3">
        <f t="shared" si="2"/>
        <v>185</v>
      </c>
    </row>
    <row r="6">
      <c r="A6" s="1" t="s">
        <v>25</v>
      </c>
      <c r="B6" s="1" t="s">
        <v>26</v>
      </c>
      <c r="C6" s="1" t="s">
        <v>21</v>
      </c>
      <c r="D6" s="1">
        <v>15.0</v>
      </c>
      <c r="E6" s="1">
        <v>350.0</v>
      </c>
      <c r="F6" s="1">
        <v>200.0</v>
      </c>
      <c r="G6" s="3" t="str">
        <f t="shared" si="1"/>
        <v>⚠️ REABASTECER</v>
      </c>
      <c r="H6" s="3">
        <f>SUMIF('02_Ventas'!C:C, A6, '02_Ventas'!D:D)</f>
        <v>2</v>
      </c>
      <c r="I6" s="3">
        <f t="shared" si="2"/>
        <v>13</v>
      </c>
    </row>
    <row r="7">
      <c r="A7" s="1" t="s">
        <v>28</v>
      </c>
      <c r="B7" s="1" t="s">
        <v>29</v>
      </c>
      <c r="C7" s="1" t="s">
        <v>13</v>
      </c>
      <c r="D7" s="1">
        <v>80.0</v>
      </c>
      <c r="E7" s="1">
        <v>85.0</v>
      </c>
      <c r="F7" s="1">
        <v>45.0</v>
      </c>
      <c r="G7" s="3" t="str">
        <f t="shared" si="1"/>
        <v>OK</v>
      </c>
      <c r="H7" s="3">
        <f>SUMIF('02_Ventas'!C:C, A7, '02_Ventas'!D:D)</f>
        <v>4</v>
      </c>
      <c r="I7" s="3">
        <f t="shared" si="2"/>
        <v>76</v>
      </c>
    </row>
    <row r="8">
      <c r="A8" s="1" t="s">
        <v>30</v>
      </c>
      <c r="B8" s="1" t="s">
        <v>31</v>
      </c>
      <c r="C8" s="1" t="s">
        <v>32</v>
      </c>
      <c r="D8" s="1">
        <v>100.0</v>
      </c>
      <c r="E8" s="1">
        <v>30.0</v>
      </c>
      <c r="F8" s="1">
        <v>12.0</v>
      </c>
      <c r="G8" s="3" t="str">
        <f t="shared" si="1"/>
        <v>OK</v>
      </c>
      <c r="H8" s="3">
        <f>SUMIF('02_Ventas'!C:C, A8, '02_Ventas'!D:D)</f>
        <v>8</v>
      </c>
      <c r="I8" s="3">
        <f t="shared" si="2"/>
        <v>92</v>
      </c>
    </row>
  </sheetData>
  <conditionalFormatting sqref="G2:G1000">
    <cfRule type="cellIs" dxfId="0" priority="1" operator="equal">
      <formula>"⚠️ REABASTECER"</formula>
    </cfRule>
  </conditionalFormatting>
  <conditionalFormatting sqref="G2:G1000">
    <cfRule type="cellIs" dxfId="1" priority="2" operator="equal">
      <formula>"OK"</formula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75"/>
    <col customWidth="1" min="2" max="2" width="9.5"/>
    <col customWidth="1" min="3" max="3" width="10.25"/>
    <col customWidth="1" min="4" max="4" width="14.63"/>
  </cols>
  <sheetData>
    <row r="1">
      <c r="A1" s="1" t="s">
        <v>1</v>
      </c>
      <c r="B1" s="1" t="s">
        <v>9</v>
      </c>
      <c r="C1" s="1" t="s">
        <v>0</v>
      </c>
      <c r="D1" s="1" t="s">
        <v>14</v>
      </c>
      <c r="E1" s="1" t="s">
        <v>3</v>
      </c>
      <c r="F1" s="1" t="s">
        <v>5</v>
      </c>
      <c r="G1" s="1" t="s">
        <v>15</v>
      </c>
    </row>
    <row r="2">
      <c r="A2" s="1" t="s">
        <v>16</v>
      </c>
      <c r="B2" s="2">
        <v>46082.0</v>
      </c>
      <c r="C2" s="1" t="s">
        <v>11</v>
      </c>
      <c r="D2" s="1">
        <v>2.0</v>
      </c>
      <c r="E2" s="3" t="str">
        <f>VLOOKUP(C2, '01_Productos'!A:C, 3, FALSE)</f>
        <v>Electrónica</v>
      </c>
      <c r="F2" s="3">
        <f>VLOOKUP(C2, '01_Productos'!A:E, 5, FALSE)</f>
        <v>180</v>
      </c>
      <c r="G2" s="3">
        <f t="shared" ref="G2:G13" si="1">D2*F2</f>
        <v>360</v>
      </c>
    </row>
    <row r="3">
      <c r="A3" s="1" t="s">
        <v>22</v>
      </c>
      <c r="B3" s="2">
        <v>46082.0</v>
      </c>
      <c r="C3" s="1" t="s">
        <v>23</v>
      </c>
      <c r="D3" s="1">
        <v>5.0</v>
      </c>
      <c r="E3" s="3" t="str">
        <f>VLOOKUP(C3, '01_Productos'!A:C, 3, FALSE)</f>
        <v>Electrónica</v>
      </c>
      <c r="F3" s="3">
        <f>VLOOKUP(C3, '01_Productos'!A:E, 5, FALSE)</f>
        <v>25</v>
      </c>
      <c r="G3" s="3">
        <f t="shared" si="1"/>
        <v>125</v>
      </c>
    </row>
    <row r="4">
      <c r="A4" s="1" t="s">
        <v>27</v>
      </c>
      <c r="B4" s="2">
        <v>46083.0</v>
      </c>
      <c r="C4" s="1" t="s">
        <v>17</v>
      </c>
      <c r="D4" s="1">
        <v>3.0</v>
      </c>
      <c r="E4" s="3" t="str">
        <f>VLOOKUP(C4, '01_Productos'!A:C, 3, FALSE)</f>
        <v>Electrónica</v>
      </c>
      <c r="F4" s="3">
        <f>VLOOKUP(C4, '01_Productos'!A:E, 5, FALSE)</f>
        <v>65</v>
      </c>
      <c r="G4" s="3">
        <f t="shared" si="1"/>
        <v>195</v>
      </c>
    </row>
    <row r="5">
      <c r="A5" s="1" t="s">
        <v>33</v>
      </c>
      <c r="B5" s="2">
        <v>46083.0</v>
      </c>
      <c r="C5" s="1" t="s">
        <v>19</v>
      </c>
      <c r="D5" s="1">
        <v>1.0</v>
      </c>
      <c r="E5" s="3" t="str">
        <f>VLOOKUP(C5, '01_Productos'!A:C, 3, FALSE)</f>
        <v>Mobiliario</v>
      </c>
      <c r="F5" s="3">
        <f>VLOOKUP(C5, '01_Productos'!A:E, 5, FALSE)</f>
        <v>210</v>
      </c>
      <c r="G5" s="3">
        <f t="shared" si="1"/>
        <v>210</v>
      </c>
    </row>
    <row r="6">
      <c r="A6" s="1" t="s">
        <v>34</v>
      </c>
      <c r="B6" s="2">
        <v>46084.0</v>
      </c>
      <c r="C6" s="1" t="s">
        <v>11</v>
      </c>
      <c r="D6" s="1">
        <v>1.0</v>
      </c>
      <c r="E6" s="3" t="str">
        <f>VLOOKUP(C6, '01_Productos'!A:C, 3, FALSE)</f>
        <v>Electrónica</v>
      </c>
      <c r="F6" s="3">
        <f>VLOOKUP(C6, '01_Productos'!A:E, 5, FALSE)</f>
        <v>180</v>
      </c>
      <c r="G6" s="3">
        <f t="shared" si="1"/>
        <v>180</v>
      </c>
    </row>
    <row r="7">
      <c r="A7" s="1" t="s">
        <v>35</v>
      </c>
      <c r="B7" s="2">
        <v>46084.0</v>
      </c>
      <c r="C7" s="1" t="s">
        <v>25</v>
      </c>
      <c r="D7" s="1">
        <v>2.0</v>
      </c>
      <c r="E7" s="3" t="str">
        <f>VLOOKUP(C7, '01_Productos'!A:C, 3, FALSE)</f>
        <v>Mobiliario</v>
      </c>
      <c r="F7" s="3">
        <f>VLOOKUP(C7, '01_Productos'!A:E, 5, FALSE)</f>
        <v>350</v>
      </c>
      <c r="G7" s="3">
        <f t="shared" si="1"/>
        <v>700</v>
      </c>
    </row>
    <row r="8">
      <c r="A8" s="1" t="s">
        <v>36</v>
      </c>
      <c r="B8" s="2">
        <v>46085.0</v>
      </c>
      <c r="C8" s="1" t="s">
        <v>23</v>
      </c>
      <c r="D8" s="1">
        <v>10.0</v>
      </c>
      <c r="E8" s="3" t="str">
        <f>VLOOKUP(C8, '01_Productos'!A:C, 3, FALSE)</f>
        <v>Electrónica</v>
      </c>
      <c r="F8" s="3">
        <f>VLOOKUP(C8, '01_Productos'!A:E, 5, FALSE)</f>
        <v>25</v>
      </c>
      <c r="G8" s="3">
        <f t="shared" si="1"/>
        <v>250</v>
      </c>
    </row>
    <row r="9">
      <c r="A9" s="1" t="s">
        <v>37</v>
      </c>
      <c r="B9" s="2">
        <v>46085.0</v>
      </c>
      <c r="C9" s="1" t="s">
        <v>28</v>
      </c>
      <c r="D9" s="1">
        <v>4.0</v>
      </c>
      <c r="E9" s="3" t="str">
        <f>VLOOKUP(C9, '01_Productos'!A:C, 3, FALSE)</f>
        <v>Electrónica</v>
      </c>
      <c r="F9" s="3">
        <f>VLOOKUP(C9, '01_Productos'!A:E, 5, FALSE)</f>
        <v>85</v>
      </c>
      <c r="G9" s="3">
        <f t="shared" si="1"/>
        <v>340</v>
      </c>
    </row>
    <row r="10">
      <c r="A10" s="1" t="s">
        <v>38</v>
      </c>
      <c r="B10" s="2">
        <v>46086.0</v>
      </c>
      <c r="C10" s="1" t="s">
        <v>17</v>
      </c>
      <c r="D10" s="1">
        <v>2.0</v>
      </c>
      <c r="E10" s="3" t="str">
        <f>VLOOKUP(C10, '01_Productos'!A:C, 3, FALSE)</f>
        <v>Electrónica</v>
      </c>
      <c r="F10" s="3">
        <f>VLOOKUP(C10, '01_Productos'!A:E, 5, FALSE)</f>
        <v>65</v>
      </c>
      <c r="G10" s="3">
        <f t="shared" si="1"/>
        <v>130</v>
      </c>
    </row>
    <row r="11">
      <c r="A11" s="1" t="s">
        <v>39</v>
      </c>
      <c r="B11" s="2">
        <v>46086.0</v>
      </c>
      <c r="C11" s="1" t="s">
        <v>30</v>
      </c>
      <c r="D11" s="1">
        <v>8.0</v>
      </c>
      <c r="E11" s="3" t="str">
        <f>VLOOKUP(C11, '01_Productos'!A:C, 3, FALSE)</f>
        <v>Iluminación</v>
      </c>
      <c r="F11" s="3">
        <f>VLOOKUP(C11, '01_Productos'!A:E, 5, FALSE)</f>
        <v>30</v>
      </c>
      <c r="G11" s="3">
        <f t="shared" si="1"/>
        <v>240</v>
      </c>
    </row>
    <row r="12">
      <c r="A12" s="1" t="s">
        <v>40</v>
      </c>
      <c r="B12" s="2">
        <v>46087.0</v>
      </c>
      <c r="C12" s="1" t="s">
        <v>11</v>
      </c>
      <c r="D12" s="1">
        <v>3.0</v>
      </c>
      <c r="E12" s="3" t="str">
        <f>VLOOKUP(C12, '01_Productos'!A:C, 3, FALSE)</f>
        <v>Electrónica</v>
      </c>
      <c r="F12" s="3">
        <f>VLOOKUP(C12, '01_Productos'!A:E, 5, FALSE)</f>
        <v>180</v>
      </c>
      <c r="G12" s="3">
        <f t="shared" si="1"/>
        <v>540</v>
      </c>
    </row>
    <row r="13">
      <c r="A13" s="1" t="s">
        <v>41</v>
      </c>
      <c r="B13" s="2">
        <v>46087.0</v>
      </c>
      <c r="C13" s="1" t="s">
        <v>19</v>
      </c>
      <c r="D13" s="1">
        <v>2.0</v>
      </c>
      <c r="E13" s="3" t="str">
        <f>VLOOKUP(C13, '01_Productos'!A:C, 3, FALSE)</f>
        <v>Mobiliario</v>
      </c>
      <c r="F13" s="3">
        <f>VLOOKUP(C13, '01_Productos'!A:E, 5, FALSE)</f>
        <v>210</v>
      </c>
      <c r="G13" s="3">
        <f t="shared" si="1"/>
        <v>420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0"/>
  </cols>
  <sheetData>
    <row r="1">
      <c r="A1" s="1" t="s">
        <v>42</v>
      </c>
      <c r="B1" s="3">
        <f>COUNTA('01_Productos'!A2:A8)</f>
        <v>7</v>
      </c>
    </row>
    <row r="2">
      <c r="A2" s="1" t="s">
        <v>43</v>
      </c>
      <c r="B2" s="3">
        <f>COUNTIF('01_Productos'!G2:G8, "⚠️ REABASTECER")</f>
        <v>1</v>
      </c>
    </row>
    <row r="3">
      <c r="A3" s="1" t="s">
        <v>44</v>
      </c>
      <c r="B3" s="3">
        <f>SUM('02_Ventas'!D2:D13)</f>
        <v>43</v>
      </c>
    </row>
    <row r="6"/>
    <row r="7"/>
    <row r="8"/>
    <row r="9">
      <c r="G9" s="4"/>
    </row>
    <row r="10"/>
  </sheetData>
  <drawing r:id="rId2"/>
</worksheet>
</file>